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.ding-2/Desktop/paper/wp1/ready for submission /"/>
    </mc:Choice>
  </mc:AlternateContent>
  <xr:revisionPtr revIDLastSave="0" documentId="13_ncr:1_{2717DEF9-035D-FD4F-8CF8-82AA6A67193C}" xr6:coauthVersionLast="47" xr6:coauthVersionMax="47" xr10:uidLastSave="{00000000-0000-0000-0000-000000000000}"/>
  <bookViews>
    <workbookView xWindow="0" yWindow="760" windowWidth="29380" windowHeight="14220" xr2:uid="{00000000-000D-0000-FFFF-FFFF00000000}"/>
  </bookViews>
  <sheets>
    <sheet name="Sheet1" sheetId="1" r:id="rId1"/>
  </sheets>
  <definedNames>
    <definedName name="_xlnm.Print_Area" localSheetId="0">#REF!</definedName>
    <definedName name="_xlnm.Sheet_Title" localSheetId="0">"Sheet1"</definedName>
  </definedNames>
  <calcPr calcId="191028" iterate="1"/>
  <webPublishing css="0" allowPng="1" codePage="125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4" i="1" l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</calcChain>
</file>

<file path=xl/sharedStrings.xml><?xml version="1.0" encoding="utf-8"?>
<sst xmlns="http://schemas.openxmlformats.org/spreadsheetml/2006/main" count="58" uniqueCount="58">
  <si>
    <t>Score Card</t>
  </si>
  <si>
    <t>Observer</t>
  </si>
  <si>
    <t>Date</t>
  </si>
  <si>
    <t>Study</t>
  </si>
  <si>
    <t>Abdomen_pedseg</t>
  </si>
  <si>
    <t>Main</t>
  </si>
  <si>
    <t>Optional</t>
  </si>
  <si>
    <t>PtLabel</t>
  </si>
  <si>
    <t>Spleen</t>
  </si>
  <si>
    <t>Kidney R</t>
  </si>
  <si>
    <t>Kidney L</t>
  </si>
  <si>
    <t>Heart</t>
  </si>
  <si>
    <t>Liver</t>
  </si>
  <si>
    <t>Lung R</t>
  </si>
  <si>
    <t>Lung L</t>
  </si>
  <si>
    <t>Pancreas</t>
  </si>
  <si>
    <t>Stomach Bowel</t>
  </si>
  <si>
    <t>Vertebrea</t>
  </si>
  <si>
    <t>Spinal Canal</t>
  </si>
  <si>
    <t>Aorta Abdominal</t>
  </si>
  <si>
    <t>Vena cava inferior</t>
  </si>
  <si>
    <t>Autochthon L</t>
  </si>
  <si>
    <t>Autochthon R</t>
  </si>
  <si>
    <t>Iliopsoas L</t>
  </si>
  <si>
    <t>Iliopsoas R</t>
  </si>
  <si>
    <t>Notes</t>
  </si>
  <si>
    <t>N020</t>
  </si>
  <si>
    <t>Legend</t>
  </si>
  <si>
    <t>Short Description</t>
  </si>
  <si>
    <t>Long Description</t>
  </si>
  <si>
    <t>N042</t>
  </si>
  <si>
    <t>Use as-is</t>
  </si>
  <si>
    <t>Clinically acceptable, could be used for treatment without change</t>
  </si>
  <si>
    <t>N059</t>
  </si>
  <si>
    <t>Minor edits are not necessary</t>
  </si>
  <si>
    <t>Stylistic differences, but not clinically important. The current contours are acceptable.</t>
  </si>
  <si>
    <t>N066</t>
  </si>
  <si>
    <t>Minors edits are necessary</t>
  </si>
  <si>
    <t>Edits are clinically important, but it is more efficient to edit the automatically generated contours than start from scratch.</t>
  </si>
  <si>
    <t>N069</t>
  </si>
  <si>
    <t>Major edits</t>
  </si>
  <si>
    <t>Edits are required to ensure appropriate treatment and sufficiently significant that the user would prefer to start from scratch.</t>
  </si>
  <si>
    <t>N081</t>
  </si>
  <si>
    <t>Unusable</t>
  </si>
  <si>
    <t>The automatically generated contours are so poor that they are unusable.</t>
  </si>
  <si>
    <t>N091</t>
  </si>
  <si>
    <t>N095</t>
  </si>
  <si>
    <t>N103</t>
  </si>
  <si>
    <t>R037</t>
  </si>
  <si>
    <t>R070</t>
  </si>
  <si>
    <t>R072</t>
  </si>
  <si>
    <t>RO73</t>
  </si>
  <si>
    <t>R074</t>
  </si>
  <si>
    <t>R085</t>
  </si>
  <si>
    <t>Mean</t>
  </si>
  <si>
    <t>STD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</si>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</sst>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0"/>
      <color rgb="FF000000"/>
      <name val="Sans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505050"/>
      <name val="Helvetic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/>
    <xf numFmtId="0" fontId="2" fillId="0" borderId="0" xfId="0" applyFont="1" applyAlignment="1">
      <alignment horizontal="center"/>
    </xf>
    <xf numFmtId="0" fontId="1" fillId="0" borderId="4" xfId="0" applyFont="1" applyBorder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1" fillId="0" borderId="2" xfId="0" applyFont="1" applyBorder="1"/>
    <xf numFmtId="164" fontId="1" fillId="0" borderId="1" xfId="0" applyNumberFormat="1" applyFont="1" applyBorder="1" applyAlignment="1">
      <alignment horizontal="center"/>
    </xf>
    <xf numFmtId="21" fontId="1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"/>
  <sheetViews>
    <sheetView tabSelected="1" topLeftCell="G2" workbookViewId="0">
      <selection activeCell="I8" sqref="I8"/>
    </sheetView>
  </sheetViews>
  <sheetFormatPr baseColWidth="10" defaultColWidth="9.19921875" defaultRowHeight="15"/>
  <cols>
    <col min="1" max="1" width="10.796875" style="1" customWidth="1"/>
    <col min="2" max="8" width="8.19921875" style="1" customWidth="1"/>
    <col min="9" max="9" width="9" style="1" customWidth="1"/>
    <col min="10" max="10" width="8.59765625" style="1" customWidth="1"/>
    <col min="11" max="11" width="9.19921875" style="1" customWidth="1"/>
    <col min="12" max="12" width="8.59765625" style="1" customWidth="1"/>
    <col min="13" max="13" width="10.3984375" style="1" customWidth="1"/>
    <col min="14" max="14" width="11" style="1" customWidth="1"/>
    <col min="15" max="16" width="11.796875" style="1" customWidth="1"/>
    <col min="17" max="18" width="9.19921875" style="1"/>
    <col min="19" max="19" width="58.19921875" style="1" customWidth="1"/>
    <col min="20" max="21" width="9.19921875" style="1"/>
    <col min="22" max="22" width="28.796875" style="1" customWidth="1"/>
    <col min="23" max="23" width="120.59765625" style="1" customWidth="1"/>
    <col min="24" max="16384" width="9.19921875" style="1"/>
  </cols>
  <sheetData>
    <row r="1" spans="1:23">
      <c r="A1" s="2" t="s">
        <v>0</v>
      </c>
      <c r="C1" t="s">
        <v>1</v>
      </c>
      <c r="E1" t="s">
        <v>2</v>
      </c>
      <c r="F1" s="3"/>
      <c r="I1" t="s">
        <v>3</v>
      </c>
      <c r="J1" t="s">
        <v>4</v>
      </c>
    </row>
    <row r="3" spans="1:23">
      <c r="B3" s="20" t="s">
        <v>5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1" t="s">
        <v>6</v>
      </c>
      <c r="O3" s="21"/>
      <c r="P3" s="21"/>
      <c r="Q3" s="21"/>
      <c r="R3" s="21"/>
    </row>
    <row r="4" spans="1:23" s="11" customFormat="1" ht="33.75" customHeight="1">
      <c r="A4" s="6" t="s">
        <v>7</v>
      </c>
      <c r="B4" s="7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7" t="s">
        <v>13</v>
      </c>
      <c r="H4" s="7" t="s">
        <v>14</v>
      </c>
      <c r="I4" s="7" t="s">
        <v>15</v>
      </c>
      <c r="J4" s="7" t="s">
        <v>16</v>
      </c>
      <c r="K4" s="7" t="s">
        <v>17</v>
      </c>
      <c r="L4" s="7" t="s">
        <v>18</v>
      </c>
      <c r="M4" s="8" t="s">
        <v>19</v>
      </c>
      <c r="N4" s="9" t="s">
        <v>20</v>
      </c>
      <c r="O4" s="9" t="s">
        <v>21</v>
      </c>
      <c r="P4" s="9" t="s">
        <v>22</v>
      </c>
      <c r="Q4" s="9" t="s">
        <v>23</v>
      </c>
      <c r="R4" s="10" t="s">
        <v>24</v>
      </c>
      <c r="S4" s="7" t="s">
        <v>25</v>
      </c>
    </row>
    <row r="5" spans="1:23">
      <c r="A5" s="12" t="s">
        <v>26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U5" s="13" t="s">
        <v>27</v>
      </c>
      <c r="V5" s="2" t="s">
        <v>28</v>
      </c>
      <c r="W5" s="2" t="s">
        <v>29</v>
      </c>
    </row>
    <row r="6" spans="1:23" ht="16">
      <c r="A6" s="14" t="s">
        <v>30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U6" s="11">
        <v>5</v>
      </c>
      <c r="V6" s="15" t="s">
        <v>31</v>
      </c>
      <c r="W6" s="15" t="s">
        <v>32</v>
      </c>
    </row>
    <row r="7" spans="1:23">
      <c r="A7" s="14" t="s">
        <v>33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U7" s="5">
        <v>4</v>
      </c>
      <c r="V7" s="16" t="s">
        <v>34</v>
      </c>
      <c r="W7" s="16" t="s">
        <v>35</v>
      </c>
    </row>
    <row r="8" spans="1:23">
      <c r="A8" s="14" t="s">
        <v>36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U8" s="5">
        <v>3</v>
      </c>
      <c r="V8" s="16" t="s">
        <v>37</v>
      </c>
      <c r="W8" s="16" t="s">
        <v>38</v>
      </c>
    </row>
    <row r="9" spans="1:23">
      <c r="A9" s="14" t="s">
        <v>39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U9" s="5">
        <v>2</v>
      </c>
      <c r="V9" s="16" t="s">
        <v>40</v>
      </c>
      <c r="W9" s="16" t="s">
        <v>41</v>
      </c>
    </row>
    <row r="10" spans="1:23">
      <c r="A10" s="14" t="s">
        <v>42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U10" s="5">
        <v>1</v>
      </c>
      <c r="V10" s="16" t="s">
        <v>43</v>
      </c>
      <c r="W10" s="16" t="s">
        <v>44</v>
      </c>
    </row>
    <row r="11" spans="1:23">
      <c r="A11" s="14" t="s">
        <v>45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23">
      <c r="A12" s="14" t="s">
        <v>46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23">
      <c r="A13" s="14" t="s">
        <v>47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23">
      <c r="A14" s="14" t="s">
        <v>48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23">
      <c r="A15" s="14" t="s">
        <v>49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23">
      <c r="A16" s="14" t="s">
        <v>50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>
      <c r="A17" s="14" t="s">
        <v>51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>
      <c r="A18" s="14" t="s">
        <v>52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>
      <c r="A19" s="14" t="s">
        <v>53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ht="8.25" customHeight="1">
      <c r="A20" s="17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>
      <c r="A21" s="17" t="s">
        <v>54</v>
      </c>
      <c r="B21" s="18" t="e">
        <f t="shared" ref="B21:L21" si="0">AVERAGE(B5:B19)</f>
        <v>#DIV/0!</v>
      </c>
      <c r="C21" s="18" t="e">
        <f t="shared" si="0"/>
        <v>#DIV/0!</v>
      </c>
      <c r="D21" s="18" t="e">
        <f t="shared" si="0"/>
        <v>#DIV/0!</v>
      </c>
      <c r="E21" s="18" t="e">
        <f t="shared" si="0"/>
        <v>#DIV/0!</v>
      </c>
      <c r="F21" s="18" t="e">
        <f t="shared" si="0"/>
        <v>#DIV/0!</v>
      </c>
      <c r="G21" s="18" t="e">
        <f t="shared" si="0"/>
        <v>#DIV/0!</v>
      </c>
      <c r="H21" s="18" t="e">
        <f t="shared" si="0"/>
        <v>#DIV/0!</v>
      </c>
      <c r="I21" s="18" t="e">
        <f t="shared" si="0"/>
        <v>#DIV/0!</v>
      </c>
      <c r="J21" s="18" t="e">
        <f t="shared" si="0"/>
        <v>#DIV/0!</v>
      </c>
      <c r="K21" s="18" t="e">
        <f t="shared" si="0"/>
        <v>#DIV/0!</v>
      </c>
      <c r="L21" s="18" t="e">
        <f t="shared" si="0"/>
        <v>#DIV/0!</v>
      </c>
      <c r="M21" s="18" t="e">
        <f>AVERAGE(M5:M18)</f>
        <v>#DIV/0!</v>
      </c>
      <c r="N21" s="18" t="e">
        <f>AVERAGE(N5:N19)</f>
        <v>#DIV/0!</v>
      </c>
      <c r="O21" s="18" t="e">
        <f>AVERAGE(O5:O19)</f>
        <v>#DIV/0!</v>
      </c>
      <c r="P21" s="18" t="e">
        <f>AVERAGE(P5:P19)</f>
        <v>#DIV/0!</v>
      </c>
      <c r="Q21" s="18" t="e">
        <f>AVERAGE(Q5:Q19)</f>
        <v>#DIV/0!</v>
      </c>
      <c r="R21" s="18" t="e">
        <f>AVERAGE(R5:R19)</f>
        <v>#DIV/0!</v>
      </c>
    </row>
    <row r="22" spans="1:18">
      <c r="A22" s="17" t="s">
        <v>55</v>
      </c>
      <c r="B22" s="18" t="e">
        <f t="shared" ref="B22:L22" si="1">_xlfn.STDEV.S(B5:B19)</f>
        <v>#DIV/0!</v>
      </c>
      <c r="C22" s="18" t="e">
        <f t="shared" si="1"/>
        <v>#DIV/0!</v>
      </c>
      <c r="D22" s="18" t="e">
        <f t="shared" si="1"/>
        <v>#DIV/0!</v>
      </c>
      <c r="E22" s="18" t="e">
        <f t="shared" si="1"/>
        <v>#DIV/0!</v>
      </c>
      <c r="F22" s="18" t="e">
        <f t="shared" si="1"/>
        <v>#DIV/0!</v>
      </c>
      <c r="G22" s="18" t="e">
        <f t="shared" si="1"/>
        <v>#DIV/0!</v>
      </c>
      <c r="H22" s="18" t="e">
        <f t="shared" si="1"/>
        <v>#DIV/0!</v>
      </c>
      <c r="I22" s="18" t="e">
        <f t="shared" si="1"/>
        <v>#DIV/0!</v>
      </c>
      <c r="J22" s="18" t="e">
        <f t="shared" si="1"/>
        <v>#DIV/0!</v>
      </c>
      <c r="K22" s="18" t="e">
        <f t="shared" si="1"/>
        <v>#DIV/0!</v>
      </c>
      <c r="L22" s="18" t="e">
        <f t="shared" si="1"/>
        <v>#DIV/0!</v>
      </c>
      <c r="M22" s="18" t="e">
        <f>_xlfn.STDEV.S(M5:M18)</f>
        <v>#DIV/0!</v>
      </c>
      <c r="N22" s="18" t="e">
        <f>_xlfn.STDEV.S(N5:N19)</f>
        <v>#DIV/0!</v>
      </c>
      <c r="O22" s="18" t="e">
        <f>_xlfn.STDEV.S(O5:O19)</f>
        <v>#DIV/0!</v>
      </c>
      <c r="P22" s="18" t="e">
        <f>_xlfn.STDEV.S(P5:P19)</f>
        <v>#DIV/0!</v>
      </c>
      <c r="Q22" s="18" t="e">
        <f>_xlfn.STDEV.S(Q5:Q19)</f>
        <v>#DIV/0!</v>
      </c>
      <c r="R22" s="18" t="e">
        <f>_xlfn.STDEV.S(R5:R19)</f>
        <v>#DIV/0!</v>
      </c>
    </row>
    <row r="23" spans="1:18" ht="16.5" customHeight="1">
      <c r="A23" s="17" t="s">
        <v>56</v>
      </c>
      <c r="B23" s="18">
        <f t="shared" ref="B23:L23" si="2">MIN(B5:B19)</f>
        <v>0</v>
      </c>
      <c r="C23" s="18">
        <f t="shared" si="2"/>
        <v>0</v>
      </c>
      <c r="D23" s="18">
        <f t="shared" si="2"/>
        <v>0</v>
      </c>
      <c r="E23" s="18">
        <f t="shared" si="2"/>
        <v>0</v>
      </c>
      <c r="F23" s="18">
        <f t="shared" si="2"/>
        <v>0</v>
      </c>
      <c r="G23" s="18">
        <f t="shared" si="2"/>
        <v>0</v>
      </c>
      <c r="H23" s="18">
        <f t="shared" si="2"/>
        <v>0</v>
      </c>
      <c r="I23" s="18">
        <f t="shared" si="2"/>
        <v>0</v>
      </c>
      <c r="J23" s="18">
        <f t="shared" si="2"/>
        <v>0</v>
      </c>
      <c r="K23" s="18">
        <f t="shared" si="2"/>
        <v>0</v>
      </c>
      <c r="L23" s="18">
        <f t="shared" si="2"/>
        <v>0</v>
      </c>
      <c r="M23" s="18">
        <f>MIN(M5:M18)</f>
        <v>0</v>
      </c>
      <c r="N23" s="18">
        <f>MIN(N5:N19)</f>
        <v>0</v>
      </c>
      <c r="O23" s="18">
        <f>MIN(O5:O19)</f>
        <v>0</v>
      </c>
      <c r="P23" s="18">
        <f>MIN(P5:P19)</f>
        <v>0</v>
      </c>
      <c r="Q23" s="18">
        <f>MIN(Q5:Q19)</f>
        <v>0</v>
      </c>
      <c r="R23" s="18">
        <f>MIN(R5:R19)</f>
        <v>0</v>
      </c>
    </row>
    <row r="24" spans="1:18">
      <c r="A24" s="17" t="s">
        <v>57</v>
      </c>
      <c r="B24" s="18">
        <f t="shared" ref="B24:L24" si="3">MAX(B5:B19)</f>
        <v>0</v>
      </c>
      <c r="C24" s="18">
        <f t="shared" si="3"/>
        <v>0</v>
      </c>
      <c r="D24" s="18">
        <f t="shared" si="3"/>
        <v>0</v>
      </c>
      <c r="E24" s="18">
        <f t="shared" si="3"/>
        <v>0</v>
      </c>
      <c r="F24" s="18">
        <f t="shared" si="3"/>
        <v>0</v>
      </c>
      <c r="G24" s="18">
        <f t="shared" si="3"/>
        <v>0</v>
      </c>
      <c r="H24" s="18">
        <f t="shared" si="3"/>
        <v>0</v>
      </c>
      <c r="I24" s="18">
        <f t="shared" si="3"/>
        <v>0</v>
      </c>
      <c r="J24" s="18">
        <f t="shared" si="3"/>
        <v>0</v>
      </c>
      <c r="K24" s="18">
        <f t="shared" si="3"/>
        <v>0</v>
      </c>
      <c r="L24" s="18">
        <f t="shared" si="3"/>
        <v>0</v>
      </c>
      <c r="M24" s="18">
        <f>MAX(M5:M18)</f>
        <v>0</v>
      </c>
      <c r="N24" s="18">
        <f>MAX(N5:N19)</f>
        <v>0</v>
      </c>
      <c r="O24" s="18">
        <f>MAX(O5:O19)</f>
        <v>0</v>
      </c>
      <c r="P24" s="18">
        <f>MAX(P5:P19)</f>
        <v>0</v>
      </c>
      <c r="Q24" s="18">
        <f>MAX(Q5:Q19)</f>
        <v>0</v>
      </c>
      <c r="R24" s="18">
        <f>MAX(R5:R19)</f>
        <v>0</v>
      </c>
    </row>
    <row r="25" spans="1:18"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</row>
    <row r="26" spans="1:18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">
    <mergeCell ref="B3:M3"/>
    <mergeCell ref="N3:R3"/>
  </mergeCells>
  <pageMargins left="0.7" right="0.7" top="0.75" bottom="0.75" header="0.3" footer="0.3"/>
  <pageSetup fitToWidth="0" fitToHeight="0" orientation="portrait" cellComments="asDisplaye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Mianyong Ding</cp:lastModifiedBy>
  <cp:revision/>
  <dcterms:created xsi:type="dcterms:W3CDTF">2020-06-11T18:28:31Z</dcterms:created>
  <dcterms:modified xsi:type="dcterms:W3CDTF">2024-10-29T14:12:49Z</dcterms:modified>
  <cp:category/>
  <cp:contentStatus/>
</cp:coreProperties>
</file>